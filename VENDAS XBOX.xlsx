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vil\Desktop\dio\projeto03 dashboard de vendas\"/>
    </mc:Choice>
  </mc:AlternateContent>
  <xr:revisionPtr revIDLastSave="0" documentId="13_ncr:1_{7F01B3D1-5BED-41B5-836A-25EB6CD1D6E6}" xr6:coauthVersionLast="47" xr6:coauthVersionMax="47" xr10:uidLastSave="{00000000-0000-0000-0000-000000000000}"/>
  <bookViews>
    <workbookView xWindow="-120" yWindow="-120" windowWidth="29040" windowHeight="15720" tabRatio="3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3" l="1"/>
  <c r="F28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<sst xmlns="http://schemas.openxmlformats.org/spreadsheetml/2006/main" count="2017" uniqueCount="319">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</sst>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EDEDED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0" fillId="8" borderId="0" xfId="0" applyFill="1"/>
    <xf numFmtId="0" fontId="4" fillId="0" borderId="2" xfId="1" applyFont="1" applyBorder="1"/>
    <xf numFmtId="0" fontId="5" fillId="0" borderId="2" xfId="1" applyFont="1" applyBorder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fgColor rgb="FF22C55E"/>
          <bgColor rgb="FF33CC33"/>
        </patternFill>
      </fill>
      <border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940F694E-2E0C-41C8-B9B8-8EDEADDDDDC5}">
      <tableStyleElement type="wholeTable" dxfId="1"/>
      <tableStyleElement type="headerRow" dxfId="0"/>
    </tableStyle>
  </tableStyles>
  <colors>
    <mruColors>
      <color rgb="FF22C55E"/>
      <color rgb="FF33CC33"/>
      <color rgb="FFEDEDED"/>
      <color rgb="FF00FF00"/>
      <color rgb="FFE8E6E9"/>
      <color rgb="FF5BF6A8"/>
      <color rgb="FF000000"/>
      <color rgb="FFE0E0E0"/>
      <color rgb="FFF7F8FC"/>
      <color rgb="FF2AE6B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dinâmica1</c:name>
    <c:fmtId val="6"/>
  </c:pivotSource>
  <c:chart>
    <c:autoTitleDeleted val="1"/>
    <c:pivotFmts>
      <c:pivotFmt>
        <c:idx val="0"/>
        <c:spPr>
          <a:solidFill>
            <a:srgbClr val="00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168297761034533"/>
          <c:y val="0.28274280948907898"/>
          <c:w val="0.69165996616876679"/>
          <c:h val="0.7172572871889124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C̳álculos!$B$18:$B$20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C̳álculos!$C$18:$C$20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A-411A-8793-2682466EB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1915392"/>
        <c:axId val="631859232"/>
      </c:barChart>
      <c:catAx>
        <c:axId val="631915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1859232"/>
        <c:crosses val="autoZero"/>
        <c:auto val="1"/>
        <c:lblAlgn val="ctr"/>
        <c:lblOffset val="100"/>
        <c:noMultiLvlLbl val="0"/>
      </c:catAx>
      <c:valAx>
        <c:axId val="631859232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63191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sv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10" Type="http://schemas.openxmlformats.org/officeDocument/2006/relationships/image" Target="../media/image6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559594</xdr:colOff>
      <xdr:row>1</xdr:row>
      <xdr:rowOff>11906</xdr:rowOff>
    </xdr:from>
    <xdr:to>
      <xdr:col>0</xdr:col>
      <xdr:colOff>1214437</xdr:colOff>
      <xdr:row>3</xdr:row>
      <xdr:rowOff>23812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8B6B2CF-218A-4D65-B9F0-BD1D5EBE0C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88" t="19801" r="71122" b="19633"/>
        <a:stretch/>
      </xdr:blipFill>
      <xdr:spPr>
        <a:xfrm>
          <a:off x="559594" y="202406"/>
          <a:ext cx="654843" cy="619125"/>
        </a:xfrm>
        <a:prstGeom prst="rect">
          <a:avLst/>
        </a:prstGeom>
      </xdr:spPr>
    </xdr:pic>
    <xdr:clientData/>
  </xdr:twoCellAnchor>
  <xdr:twoCellAnchor>
    <xdr:from>
      <xdr:col>0</xdr:col>
      <xdr:colOff>631032</xdr:colOff>
      <xdr:row>13</xdr:row>
      <xdr:rowOff>119062</xdr:rowOff>
    </xdr:from>
    <xdr:to>
      <xdr:col>10</xdr:col>
      <xdr:colOff>500063</xdr:colOff>
      <xdr:row>30</xdr:row>
      <xdr:rowOff>47624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172CB8DA-8FBB-61BB-3C42-2EF9B24B2667}"/>
            </a:ext>
          </a:extLst>
        </xdr:cNvPr>
        <xdr:cNvGrpSpPr/>
      </xdr:nvGrpSpPr>
      <xdr:grpSpPr>
        <a:xfrm>
          <a:off x="631032" y="2821781"/>
          <a:ext cx="10120312" cy="3167062"/>
          <a:chOff x="6707425" y="2846816"/>
          <a:chExt cx="5472669" cy="3142027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A54A6831-7EEC-81B1-DDE5-375476783E96}"/>
              </a:ext>
            </a:extLst>
          </xdr:cNvPr>
          <xdr:cNvSpPr/>
        </xdr:nvSpPr>
        <xdr:spPr>
          <a:xfrm>
            <a:off x="7441405" y="2953124"/>
            <a:ext cx="4738689" cy="303571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BACFB9F7-174A-4F21-A68D-117D93D1D80D}"/>
              </a:ext>
            </a:extLst>
          </xdr:cNvPr>
          <xdr:cNvGraphicFramePr>
            <a:graphicFrameLocks/>
          </xdr:cNvGraphicFramePr>
        </xdr:nvGraphicFramePr>
        <xdr:xfrm>
          <a:off x="6707425" y="2846816"/>
          <a:ext cx="4770879" cy="277901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0</xdr:colOff>
      <xdr:row>6</xdr:row>
      <xdr:rowOff>9527</xdr:rowOff>
    </xdr:from>
    <xdr:to>
      <xdr:col>1</xdr:col>
      <xdr:colOff>-1</xdr:colOff>
      <xdr:row>18</xdr:row>
      <xdr:rowOff>164308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93A72E81-2956-45F0-980F-2649412E8E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52527"/>
              <a:ext cx="1928812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71437</xdr:colOff>
      <xdr:row>6</xdr:row>
      <xdr:rowOff>113110</xdr:rowOff>
    </xdr:from>
    <xdr:to>
      <xdr:col>3</xdr:col>
      <xdr:colOff>202406</xdr:colOff>
      <xdr:row>12</xdr:row>
      <xdr:rowOff>125016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4062D20D-0C88-865F-A9A9-85B95F04B34F}"/>
            </a:ext>
          </a:extLst>
        </xdr:cNvPr>
        <xdr:cNvGrpSpPr/>
      </xdr:nvGrpSpPr>
      <xdr:grpSpPr>
        <a:xfrm>
          <a:off x="2000250" y="1256110"/>
          <a:ext cx="4202906" cy="1381125"/>
          <a:chOff x="1916906" y="1250156"/>
          <a:chExt cx="4202906" cy="1381125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EFFF5501-DD00-9B80-1161-59E1CD0C07A4}"/>
              </a:ext>
            </a:extLst>
          </xdr:cNvPr>
          <xdr:cNvGrpSpPr/>
        </xdr:nvGrpSpPr>
        <xdr:grpSpPr>
          <a:xfrm>
            <a:off x="1928816" y="1250156"/>
            <a:ext cx="4190996" cy="1381125"/>
            <a:chOff x="1928816" y="1250156"/>
            <a:chExt cx="4190996" cy="1381125"/>
          </a:xfrm>
        </xdr:grpSpPr>
        <xdr:sp macro="" textlink="">
          <xdr:nvSpPr>
            <xdr:cNvPr id="7" name="Retângulo 6">
              <a:extLst>
                <a:ext uri="{FF2B5EF4-FFF2-40B4-BE49-F238E27FC236}">
                  <a16:creationId xmlns:a16="http://schemas.microsoft.com/office/drawing/2014/main" id="{F60FEA95-F5B1-8AFF-6985-B1EFE329E267}"/>
                </a:ext>
              </a:extLst>
            </xdr:cNvPr>
            <xdr:cNvSpPr/>
          </xdr:nvSpPr>
          <xdr:spPr>
            <a:xfrm>
              <a:off x="1934765" y="1250156"/>
              <a:ext cx="3893344" cy="1381125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28">
          <xdr:nvSpPr>
            <xdr:cNvPr id="8" name="Retângulo 7">
              <a:extLst>
                <a:ext uri="{FF2B5EF4-FFF2-40B4-BE49-F238E27FC236}">
                  <a16:creationId xmlns:a16="http://schemas.microsoft.com/office/drawing/2014/main" id="{F811FA6D-B6EE-4EC4-B3D5-F528A53504CF}"/>
                </a:ext>
              </a:extLst>
            </xdr:cNvPr>
            <xdr:cNvSpPr/>
          </xdr:nvSpPr>
          <xdr:spPr>
            <a:xfrm>
              <a:off x="3176585" y="1677590"/>
              <a:ext cx="2943227" cy="52625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C08F9A30-5A01-490F-84B1-6D02E4F64DA3}" type="TxLink">
                <a:rPr lang="en-US" sz="32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R$ 600,00</a:t>
              </a:fld>
              <a:endParaRPr lang="pt-BR" sz="3200">
                <a:solidFill>
                  <a:srgbClr val="22C55E"/>
                </a:solidFill>
              </a:endParaRPr>
            </a:p>
          </xdr:txBody>
        </xdr:sp>
        <xdr:pic>
          <xdr:nvPicPr>
            <xdr:cNvPr id="10" name="Imagem 9">
              <a:extLst>
                <a:ext uri="{FF2B5EF4-FFF2-40B4-BE49-F238E27FC236}">
                  <a16:creationId xmlns:a16="http://schemas.microsoft.com/office/drawing/2014/main" id="{BFCC6BC0-8795-433A-9BB1-8A1C3C921E5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928816" y="1331118"/>
              <a:ext cx="1219200" cy="1219200"/>
            </a:xfrm>
            <a:prstGeom prst="rect">
              <a:avLst/>
            </a:prstGeom>
          </xdr:spPr>
        </xdr:pic>
      </xdr:grpSp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492BF37B-0E43-EB06-1B60-34DB45234DC2}"/>
              </a:ext>
            </a:extLst>
          </xdr:cNvPr>
          <xdr:cNvSpPr/>
        </xdr:nvSpPr>
        <xdr:spPr>
          <a:xfrm>
            <a:off x="1916906" y="1250156"/>
            <a:ext cx="3929063" cy="345281"/>
          </a:xfrm>
          <a:prstGeom prst="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TOTAL SUBSCRIPTIONS EA PLAY SEASON PASS</a:t>
            </a:r>
          </a:p>
        </xdr:txBody>
      </xdr:sp>
    </xdr:grpSp>
    <xdr:clientData/>
  </xdr:twoCellAnchor>
  <xdr:twoCellAnchor>
    <xdr:from>
      <xdr:col>3</xdr:col>
      <xdr:colOff>116682</xdr:colOff>
      <xdr:row>6</xdr:row>
      <xdr:rowOff>117872</xdr:rowOff>
    </xdr:from>
    <xdr:to>
      <xdr:col>11</xdr:col>
      <xdr:colOff>11906</xdr:colOff>
      <xdr:row>12</xdr:row>
      <xdr:rowOff>120254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6F5BC814-9D83-48A6-8E32-66832BBEDF65}"/>
            </a:ext>
          </a:extLst>
        </xdr:cNvPr>
        <xdr:cNvGrpSpPr/>
      </xdr:nvGrpSpPr>
      <xdr:grpSpPr>
        <a:xfrm>
          <a:off x="6117432" y="1260872"/>
          <a:ext cx="4741068" cy="1371601"/>
          <a:chOff x="6117432" y="1271587"/>
          <a:chExt cx="4752974" cy="1371601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0E0B6DA4-FCFD-50A1-C68E-747E88890CEC}"/>
              </a:ext>
            </a:extLst>
          </xdr:cNvPr>
          <xdr:cNvGrpSpPr/>
        </xdr:nvGrpSpPr>
        <xdr:grpSpPr>
          <a:xfrm>
            <a:off x="6139275" y="1366836"/>
            <a:ext cx="4731131" cy="1276352"/>
            <a:chOff x="1934765" y="1250156"/>
            <a:chExt cx="3994549" cy="1381125"/>
          </a:xfrm>
        </xdr:grpSpPr>
        <xdr:sp macro="" textlink="">
          <xdr:nvSpPr>
            <xdr:cNvPr id="17" name="Retângulo 16">
              <a:extLst>
                <a:ext uri="{FF2B5EF4-FFF2-40B4-BE49-F238E27FC236}">
                  <a16:creationId xmlns:a16="http://schemas.microsoft.com/office/drawing/2014/main" id="{074F4CCE-1052-46A9-3790-982458A59AA5}"/>
                </a:ext>
              </a:extLst>
            </xdr:cNvPr>
            <xdr:cNvSpPr/>
          </xdr:nvSpPr>
          <xdr:spPr>
            <a:xfrm>
              <a:off x="1934765" y="1250156"/>
              <a:ext cx="3893344" cy="1381125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38">
          <xdr:nvSpPr>
            <xdr:cNvPr id="18" name="Retângulo 17">
              <a:extLst>
                <a:ext uri="{FF2B5EF4-FFF2-40B4-BE49-F238E27FC236}">
                  <a16:creationId xmlns:a16="http://schemas.microsoft.com/office/drawing/2014/main" id="{657B7926-13D9-B26E-7B4A-BF86D0D24694}"/>
                </a:ext>
              </a:extLst>
            </xdr:cNvPr>
            <xdr:cNvSpPr/>
          </xdr:nvSpPr>
          <xdr:spPr>
            <a:xfrm>
              <a:off x="2986087" y="1677590"/>
              <a:ext cx="2943227" cy="52625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E2B4E1-C15D-4070-B243-27EDE6BAE534}" type="TxLink">
                <a:rPr lang="en-US" sz="3200" b="0" i="0" u="none" strike="noStrike">
                  <a:solidFill>
                    <a:srgbClr val="22C55E"/>
                  </a:solidFill>
                  <a:latin typeface="Aptos Narrow"/>
                </a:rPr>
                <a:t>R$ 940,00</a:t>
              </a:fld>
              <a:endParaRPr lang="pt-BR" sz="3200">
                <a:solidFill>
                  <a:srgbClr val="22C55E"/>
                </a:solidFill>
              </a:endParaRPr>
            </a:p>
          </xdr:txBody>
        </xdr:sp>
      </xdr:grpSp>
      <xdr:sp macro="" textlink="">
        <xdr:nvSpPr>
          <xdr:cNvPr id="16" name="Retângulo 15">
            <a:extLst>
              <a:ext uri="{FF2B5EF4-FFF2-40B4-BE49-F238E27FC236}">
                <a16:creationId xmlns:a16="http://schemas.microsoft.com/office/drawing/2014/main" id="{4997876E-4D63-8C9F-48B0-1E09F6C40F47}"/>
              </a:ext>
            </a:extLst>
          </xdr:cNvPr>
          <xdr:cNvSpPr/>
        </xdr:nvSpPr>
        <xdr:spPr>
          <a:xfrm>
            <a:off x="6117432" y="1271587"/>
            <a:ext cx="4622006" cy="345281"/>
          </a:xfrm>
          <a:prstGeom prst="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TOTAL SUBSCRIPTIONS MINE</a:t>
            </a:r>
            <a:r>
              <a:rPr lang="pt-BR" sz="1100" baseline="0"/>
              <a:t>CRAFT </a:t>
            </a:r>
            <a:r>
              <a:rPr lang="pt-BR" sz="1100"/>
              <a:t> PASS</a:t>
            </a:r>
          </a:p>
        </xdr:txBody>
      </xdr: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3E5998E6-14C2-43BB-BE89-CA70D49CB57A}"/>
              </a:ext>
            </a:extLst>
          </xdr:cNvPr>
          <xdr:cNvGrpSpPr/>
        </xdr:nvGrpSpPr>
        <xdr:grpSpPr>
          <a:xfrm>
            <a:off x="6179344" y="1670444"/>
            <a:ext cx="1500187" cy="773906"/>
            <a:chOff x="3495675" y="5400674"/>
            <a:chExt cx="1549476" cy="752476"/>
          </a:xfrm>
        </xdr:grpSpPr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290424B2-0173-FA4B-16CE-5A854075D65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2" name="Gráfico 21">
              <a:extLst>
                <a:ext uri="{FF2B5EF4-FFF2-40B4-BE49-F238E27FC236}">
                  <a16:creationId xmlns:a16="http://schemas.microsoft.com/office/drawing/2014/main" id="{F05611C0-213A-8496-AA38-011B87ED02F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59530</xdr:colOff>
      <xdr:row>14</xdr:row>
      <xdr:rowOff>51197</xdr:rowOff>
    </xdr:from>
    <xdr:to>
      <xdr:col>10</xdr:col>
      <xdr:colOff>488155</xdr:colOff>
      <xdr:row>16</xdr:row>
      <xdr:rowOff>15478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89D8C134-5096-48E2-B301-E959462BD3CF}"/>
            </a:ext>
          </a:extLst>
        </xdr:cNvPr>
        <xdr:cNvSpPr/>
      </xdr:nvSpPr>
      <xdr:spPr>
        <a:xfrm>
          <a:off x="1988343" y="2944416"/>
          <a:ext cx="8751093" cy="345281"/>
        </a:xfrm>
        <a:prstGeom prst="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TOTAL SUBSCRIPTIONS XBOX</a:t>
          </a:r>
        </a:p>
      </xdr:txBody>
    </xdr:sp>
    <xdr:clientData/>
  </xdr:twoCellAnchor>
  <xdr:twoCellAnchor editAs="oneCell">
    <xdr:from>
      <xdr:col>0</xdr:col>
      <xdr:colOff>0</xdr:colOff>
      <xdr:row>15</xdr:row>
      <xdr:rowOff>142875</xdr:rowOff>
    </xdr:from>
    <xdr:to>
      <xdr:col>0</xdr:col>
      <xdr:colOff>1857375</xdr:colOff>
      <xdr:row>31</xdr:row>
      <xdr:rowOff>0</xdr:rowOff>
    </xdr:to>
    <xdr:pic>
      <xdr:nvPicPr>
        <xdr:cNvPr id="28" name="Gráfico 27" descr="Homem segurando uma placa">
          <a:extLst>
            <a:ext uri="{FF2B5EF4-FFF2-40B4-BE49-F238E27FC236}">
              <a16:creationId xmlns:a16="http://schemas.microsoft.com/office/drawing/2014/main" id="{BFAED7C3-4EAE-6FBC-FFD1-C97D8F4BD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0" y="3226594"/>
          <a:ext cx="1857375" cy="2905125"/>
        </a:xfrm>
        <a:prstGeom prst="rect">
          <a:avLst/>
        </a:prstGeom>
      </xdr:spPr>
    </xdr:pic>
    <xdr:clientData/>
  </xdr:twoCellAnchor>
  <xdr:twoCellAnchor editAs="absolute">
    <xdr:from>
      <xdr:col>0</xdr:col>
      <xdr:colOff>164307</xdr:colOff>
      <xdr:row>19</xdr:row>
      <xdr:rowOff>104775</xdr:rowOff>
    </xdr:from>
    <xdr:to>
      <xdr:col>0</xdr:col>
      <xdr:colOff>506839</xdr:colOff>
      <xdr:row>21</xdr:row>
      <xdr:rowOff>47624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1C9B57FD-F1F3-494E-8714-CE8E354655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88" t="19801" r="71122" b="19633"/>
        <a:stretch/>
      </xdr:blipFill>
      <xdr:spPr>
        <a:xfrm>
          <a:off x="164307" y="3950494"/>
          <a:ext cx="342532" cy="323849"/>
        </a:xfrm>
        <a:prstGeom prst="rect">
          <a:avLst/>
        </a:prstGeom>
      </xdr:spPr>
    </xdr:pic>
    <xdr:clientData/>
  </xdr:twoCellAnchor>
  <xdr:twoCellAnchor>
    <xdr:from>
      <xdr:col>0</xdr:col>
      <xdr:colOff>545306</xdr:colOff>
      <xdr:row>19</xdr:row>
      <xdr:rowOff>164307</xdr:rowOff>
    </xdr:from>
    <xdr:to>
      <xdr:col>0</xdr:col>
      <xdr:colOff>1240631</xdr:colOff>
      <xdr:row>23</xdr:row>
      <xdr:rowOff>97632</xdr:rowOff>
    </xdr:to>
    <xdr:sp macro="" textlink="">
      <xdr:nvSpPr>
        <xdr:cNvPr id="30" name="Elipse 29">
          <a:extLst>
            <a:ext uri="{FF2B5EF4-FFF2-40B4-BE49-F238E27FC236}">
              <a16:creationId xmlns:a16="http://schemas.microsoft.com/office/drawing/2014/main" id="{C80E4380-B077-4025-8359-5B6346042F7C}"/>
            </a:ext>
          </a:extLst>
        </xdr:cNvPr>
        <xdr:cNvSpPr/>
      </xdr:nvSpPr>
      <xdr:spPr>
        <a:xfrm>
          <a:off x="545306" y="4010026"/>
          <a:ext cx="695325" cy="695325"/>
        </a:xfrm>
        <a:prstGeom prst="ellipse">
          <a:avLst/>
        </a:prstGeom>
        <a:blipFill>
          <a:blip xmlns:r="http://schemas.openxmlformats.org/officeDocument/2006/relationships" r:embed="rId10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vi Lima" refreshedDate="45801.586299074072" createdVersion="8" refreshedVersion="8" minRefreshableVersion="3" recordCount="296" xr:uid="{2B843647-5B7A-49F7-90FE-337BDDE719B9}">
  <cacheSource type="worksheet">
    <worksheetSource ref="A1:M1048576" sheet="B̳ases"/>
  </cacheSource>
  <cacheFields count="13">
    <cacheField name="Subscriber ID" numFmtId="0">
      <sharedItems containsString="0" containsBlank="1" containsNumber="1" containsInteger="1" minValue="3231" maxValue="3525"/>
    </cacheField>
    <cacheField name="Name" numFmtId="0">
      <sharedItems containsBlank="1"/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0">
      <sharedItems containsNonDate="0" containsDate="1" containsString="0" containsBlank="1" minDate="2024-01-01T00:00:00" maxDate="2024-12-17T00:00:00"/>
    </cacheField>
    <cacheField name="Auto Renewal" numFmtId="0">
      <sharedItems containsBlank="1" count="3">
        <s v="Yes"/>
        <s v="No"/>
        <m/>
      </sharedItems>
    </cacheField>
    <cacheField name="Subscription Price" numFmtId="0">
      <sharedItems containsString="0" containsBlank="1" containsNumber="1" containsInteger="1" minValue="5" maxValue="15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/>
    </cacheField>
    <cacheField name="EA Play Season Pass_x000a_Price" numFmtId="0">
      <sharedItems containsBlank="1" containsMixedTypes="1" containsNumber="1" containsInteger="1" minValue="30" maxValue="30" count="3">
        <n v="30"/>
        <s v="-"/>
        <m/>
      </sharedItems>
    </cacheField>
    <cacheField name="Minecraft Season Pass" numFmtId="0">
      <sharedItems containsBlank="1"/>
    </cacheField>
    <cacheField name="Minecraft Season Pass Price" numFmtId="0">
      <sharedItems containsString="0" containsBlank="1" containsNumber="1" containsInteger="1" minValue="0" maxValue="20"/>
    </cacheField>
    <cacheField name="Coupon Value" numFmtId="0">
      <sharedItems containsString="0" containsBlank="1" containsNumber="1" containsInteger="1" minValue="0" maxValue="20"/>
    </cacheField>
    <cacheField name="Total Value" numFmtId="0">
      <sharedItems containsString="0" containsBlank="1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3146337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  <r>
    <m/>
    <m/>
    <x v="3"/>
    <m/>
    <x v="2"/>
    <m/>
    <x v="3"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30492D-1F70-48A1-AAE1-A0FEFBEAB00F}" name="Tabela dinâmica3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34:C38" firstHeaderRow="1" firstDataRow="1" firstDataCol="1" rowPageCount="1" colPageCount="1"/>
  <pivotFields count="13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axis="axisPage" showAll="0">
      <items count="5">
        <item x="1"/>
        <item x="0"/>
        <item x="2"/>
        <item x="3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1B3BA9-1A2C-4171-81A6-865B4B5E2DB2}" name="Tabela dinâ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25:C29" firstHeaderRow="1" firstDataRow="1" firstDataCol="1" rowPageCount="1" colPageCount="1"/>
  <pivotFields count="13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axis="axisPage" showAll="0">
      <items count="5">
        <item x="1"/>
        <item x="0"/>
        <item x="2"/>
        <item x="3"/>
        <item t="default"/>
      </items>
    </pivotField>
    <pivotField showAll="0"/>
    <pivotField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0524C-3977-46F2-829A-3C2C3C94159D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7:C20" firstHeaderRow="1" firstDataRow="1" firstDataCol="1" rowPageCount="1" colPageCount="1"/>
  <pivotFields count="13"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Page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4" baseItem="0" numFmtId="164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9F301E44-C351-4B6F-88CB-1FFE5244296F}" sourceName="Subscription Type">
  <pivotTables>
    <pivotTable tabId="3" name="Tabela dinâmica1"/>
    <pivotTable tabId="3" name="Tabela dinâmica2"/>
    <pivotTable tabId="3" name="Tabela dinâmica3"/>
  </pivotTables>
  <data>
    <tabular pivotCacheId="1731463373">
      <items count="4">
        <i x="1" s="1"/>
        <i x="0"/>
        <i x="2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A7E83D4-DD17-485B-B142-AB1F2BDA1A69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N1" sqref="N1:XFD104857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N1" sqref="N1:XFD104857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5:F38"/>
  <sheetViews>
    <sheetView showGridLines="0" topLeftCell="A13" workbookViewId="0">
      <selection activeCell="N1" sqref="N1:XFD1048576"/>
    </sheetView>
  </sheetViews>
  <sheetFormatPr defaultRowHeight="15" x14ac:dyDescent="0.25"/>
  <cols>
    <col min="1" max="2" width="18.42578125" bestFit="1" customWidth="1"/>
    <col min="3" max="3" width="35.1406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5" spans="2:3" x14ac:dyDescent="0.25">
      <c r="B15" s="12" t="s">
        <v>16</v>
      </c>
      <c r="C15" t="s">
        <v>24</v>
      </c>
    </row>
    <row r="17" spans="2:6" x14ac:dyDescent="0.25">
      <c r="B17" s="12" t="s">
        <v>313</v>
      </c>
      <c r="C17" t="s">
        <v>315</v>
      </c>
    </row>
    <row r="18" spans="2:6" x14ac:dyDescent="0.25">
      <c r="B18" s="13" t="s">
        <v>23</v>
      </c>
      <c r="C18" s="15">
        <v>217</v>
      </c>
    </row>
    <row r="19" spans="2:6" x14ac:dyDescent="0.25">
      <c r="B19" s="13" t="s">
        <v>19</v>
      </c>
      <c r="C19" s="15">
        <v>1537</v>
      </c>
    </row>
    <row r="20" spans="2:6" x14ac:dyDescent="0.25">
      <c r="B20" s="13" t="s">
        <v>314</v>
      </c>
      <c r="C20" s="15">
        <v>1754</v>
      </c>
    </row>
    <row r="23" spans="2:6" x14ac:dyDescent="0.25">
      <c r="B23" s="12" t="s">
        <v>16</v>
      </c>
      <c r="C23" t="s">
        <v>24</v>
      </c>
    </row>
    <row r="25" spans="2:6" x14ac:dyDescent="0.25">
      <c r="B25" s="12" t="s">
        <v>313</v>
      </c>
      <c r="C25" t="s">
        <v>317</v>
      </c>
    </row>
    <row r="26" spans="2:6" x14ac:dyDescent="0.25">
      <c r="B26" s="13" t="s">
        <v>22</v>
      </c>
      <c r="C26" s="15">
        <v>0</v>
      </c>
    </row>
    <row r="27" spans="2:6" x14ac:dyDescent="0.25">
      <c r="B27" s="13" t="s">
        <v>26</v>
      </c>
      <c r="C27" s="15">
        <v>0</v>
      </c>
    </row>
    <row r="28" spans="2:6" x14ac:dyDescent="0.25">
      <c r="B28" s="13" t="s">
        <v>18</v>
      </c>
      <c r="C28" s="15">
        <v>600</v>
      </c>
      <c r="E28" s="14"/>
      <c r="F28" s="15">
        <f>GETPIVOTDATA("EA Play Season Pass
Price",$B$25)</f>
        <v>600</v>
      </c>
    </row>
    <row r="29" spans="2:6" x14ac:dyDescent="0.25">
      <c r="B29" s="13" t="s">
        <v>314</v>
      </c>
      <c r="C29" s="15">
        <v>600</v>
      </c>
    </row>
    <row r="32" spans="2:6" x14ac:dyDescent="0.25">
      <c r="B32" s="12" t="s">
        <v>16</v>
      </c>
      <c r="C32" t="s">
        <v>24</v>
      </c>
    </row>
    <row r="34" spans="2:6" x14ac:dyDescent="0.25">
      <c r="B34" s="12" t="s">
        <v>313</v>
      </c>
      <c r="C34" t="s">
        <v>318</v>
      </c>
    </row>
    <row r="35" spans="2:6" x14ac:dyDescent="0.25">
      <c r="B35" s="13" t="s">
        <v>22</v>
      </c>
      <c r="C35" s="15">
        <v>0</v>
      </c>
    </row>
    <row r="36" spans="2:6" x14ac:dyDescent="0.25">
      <c r="B36" s="13" t="s">
        <v>26</v>
      </c>
      <c r="C36" s="15">
        <v>540</v>
      </c>
    </row>
    <row r="37" spans="2:6" x14ac:dyDescent="0.25">
      <c r="B37" s="13" t="s">
        <v>18</v>
      </c>
      <c r="C37" s="15">
        <v>400</v>
      </c>
    </row>
    <row r="38" spans="2:6" x14ac:dyDescent="0.25">
      <c r="B38" s="13" t="s">
        <v>314</v>
      </c>
      <c r="C38" s="15">
        <v>940</v>
      </c>
      <c r="F38" s="15">
        <f>GETPIVOTDATA("Minecraft Season Pass Price",$B$34)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O31"/>
  <sheetViews>
    <sheetView showGridLines="0" tabSelected="1" zoomScale="80" zoomScaleNormal="80" workbookViewId="0"/>
  </sheetViews>
  <sheetFormatPr defaultColWidth="0" defaultRowHeight="15" zeroHeight="1" x14ac:dyDescent="0.25"/>
  <cols>
    <col min="1" max="1" width="29" customWidth="1"/>
    <col min="2" max="2" width="3.5703125" customWidth="1"/>
    <col min="3" max="3" width="57.42578125" bestFit="1" customWidth="1"/>
    <col min="4" max="11" width="9.140625" customWidth="1"/>
    <col min="12" max="12" width="6.5703125" hidden="1" customWidth="1"/>
    <col min="13" max="13" width="9.140625" hidden="1" customWidth="1"/>
    <col min="16" max="16384" width="9.140625" hidden="1"/>
  </cols>
  <sheetData>
    <row r="1" spans="1:15" x14ac:dyDescent="0.25">
      <c r="A1" s="4"/>
    </row>
    <row r="2" spans="1:15" ht="39" customHeight="1" thickBot="1" x14ac:dyDescent="0.5">
      <c r="A2" s="4"/>
      <c r="C2" s="18" t="s">
        <v>316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 ht="8.25" customHeight="1" thickTop="1" x14ac:dyDescent="0.25">
      <c r="A3" s="4"/>
    </row>
    <row r="4" spans="1:15" ht="7.5" customHeight="1" x14ac:dyDescent="0.25">
      <c r="A4" s="4"/>
    </row>
    <row r="5" spans="1:15" s="16" customFormat="1" ht="10.5" customHeight="1" x14ac:dyDescent="0.25">
      <c r="A5" s="4"/>
    </row>
    <row r="6" spans="1:15" s="16" customFormat="1" ht="9.75" customHeight="1" x14ac:dyDescent="0.25">
      <c r="A6" s="4"/>
    </row>
    <row r="7" spans="1:15" s="16" customFormat="1" ht="33" customHeight="1" x14ac:dyDescent="0.25">
      <c r="A7" s="4"/>
    </row>
    <row r="8" spans="1:15" s="16" customFormat="1" x14ac:dyDescent="0.25">
      <c r="A8" s="4"/>
    </row>
    <row r="9" spans="1:15" s="16" customFormat="1" x14ac:dyDescent="0.25">
      <c r="A9" s="4"/>
    </row>
    <row r="10" spans="1:15" s="16" customFormat="1" x14ac:dyDescent="0.25">
      <c r="A10" s="4"/>
    </row>
    <row r="11" spans="1:15" s="16" customFormat="1" x14ac:dyDescent="0.25">
      <c r="A11" s="4"/>
    </row>
    <row r="12" spans="1:15" s="16" customFormat="1" x14ac:dyDescent="0.25">
      <c r="A12" s="4"/>
    </row>
    <row r="13" spans="1:15" s="16" customFormat="1" x14ac:dyDescent="0.25">
      <c r="A13" s="4"/>
    </row>
    <row r="14" spans="1:15" s="16" customFormat="1" x14ac:dyDescent="0.25">
      <c r="A14" s="4"/>
    </row>
    <row r="15" spans="1:15" s="16" customFormat="1" x14ac:dyDescent="0.25">
      <c r="A15" s="4"/>
    </row>
    <row r="16" spans="1:15" s="16" customFormat="1" x14ac:dyDescent="0.25">
      <c r="A16" s="4"/>
    </row>
    <row r="17" spans="1:1" s="16" customFormat="1" x14ac:dyDescent="0.25">
      <c r="A17" s="4"/>
    </row>
    <row r="18" spans="1:1" s="16" customFormat="1" x14ac:dyDescent="0.25">
      <c r="A18" s="4"/>
    </row>
    <row r="19" spans="1:1" s="16" customFormat="1" x14ac:dyDescent="0.25">
      <c r="A19" s="4"/>
    </row>
    <row r="20" spans="1:1" s="16" customFormat="1" x14ac:dyDescent="0.25">
      <c r="A20" s="4"/>
    </row>
    <row r="21" spans="1:1" s="16" customFormat="1" x14ac:dyDescent="0.25">
      <c r="A21" s="4"/>
    </row>
    <row r="22" spans="1:1" s="16" customFormat="1" x14ac:dyDescent="0.25">
      <c r="A22" s="4"/>
    </row>
    <row r="23" spans="1:1" s="16" customFormat="1" x14ac:dyDescent="0.25">
      <c r="A23" s="4"/>
    </row>
    <row r="24" spans="1:1" s="16" customFormat="1" x14ac:dyDescent="0.25">
      <c r="A24" s="4"/>
    </row>
    <row r="25" spans="1:1" s="16" customFormat="1" x14ac:dyDescent="0.25">
      <c r="A25" s="4"/>
    </row>
    <row r="26" spans="1:1" s="16" customFormat="1" x14ac:dyDescent="0.25">
      <c r="A26" s="4"/>
    </row>
    <row r="27" spans="1:1" s="16" customFormat="1" x14ac:dyDescent="0.25">
      <c r="A27" s="4"/>
    </row>
    <row r="28" spans="1:1" s="16" customFormat="1" x14ac:dyDescent="0.25">
      <c r="A28" s="4"/>
    </row>
    <row r="29" spans="1:1" s="16" customFormat="1" x14ac:dyDescent="0.25">
      <c r="A29" s="4"/>
    </row>
    <row r="30" spans="1:1" s="16" customFormat="1" x14ac:dyDescent="0.25">
      <c r="A30" s="4"/>
    </row>
    <row r="31" spans="1:1" s="16" customFormat="1" x14ac:dyDescent="0.25">
      <c r="A3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Levi Lima</cp:lastModifiedBy>
  <dcterms:created xsi:type="dcterms:W3CDTF">2024-12-19T13:13:10Z</dcterms:created>
  <dcterms:modified xsi:type="dcterms:W3CDTF">2025-05-24T19:49:38Z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